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casos" sheetId="1" state="visible" r:id="rId3"/>
    <sheet name="Trazabilidad CA" sheetId="2" state="visible" r:id="rId4"/>
    <sheet name="Registro de defec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<sst xmlns="http://schemas.openxmlformats.org/spreadsheetml/2006/main" count="509" uniqueCount="313">
  <si>
    <t xml:space="preserve">Matriz de casos de prueba - Mercado Sabanero</t>
  </si>
  <si>
    <t xml:space="preserve">Estado: Pasa = ejecutada con pytest y aprobada. Cambie a Falla / Pendiente según su ejecución real.</t>
  </si>
  <si>
    <t xml:space="preserve">ID</t>
  </si>
  <si>
    <t xml:space="preserve">Historia</t>
  </si>
  <si>
    <t xml:space="preserve">Criterio</t>
  </si>
  <si>
    <t xml:space="preserve">Descripción</t>
  </si>
  <si>
    <t xml:space="preserve">Datos de entrada</t>
  </si>
  <si>
    <t xml:space="preserve">Resultado esperado</t>
  </si>
  <si>
    <t xml:space="preserve">Prueba automatizada</t>
  </si>
  <si>
    <t xml:space="preserve">Estado</t>
  </si>
  <si>
    <t xml:space="preserve">Resumen</t>
  </si>
  <si>
    <t xml:space="preserve">CP-01</t>
  </si>
  <si>
    <t xml:space="preserve">HU-01</t>
  </si>
  <si>
    <t xml:space="preserve">CA1</t>
  </si>
  <si>
    <t xml:space="preserve">Agregar 1 unidad (límite inferior)</t>
  </si>
  <si>
    <t xml:space="preserve">Producto con stock 100; cantidad 1</t>
  </si>
  <si>
    <t xml:space="preserve">Carrito con 1 unidad</t>
  </si>
  <si>
    <t xml:space="preserve">test_agregar_cantidad_dentro_del_rango... [1]</t>
  </si>
  <si>
    <t xml:space="preserve">Pasa</t>
  </si>
  <si>
    <t xml:space="preserve">Casos planificados</t>
  </si>
  <si>
    <t xml:space="preserve">CP-02</t>
  </si>
  <si>
    <t xml:space="preserve">Agregar 2 unidades</t>
  </si>
  <si>
    <t xml:space="preserve">Cantidad 2</t>
  </si>
  <si>
    <t xml:space="preserve">Carrito con 2 unidades</t>
  </si>
  <si>
    <t xml:space="preserve">test_agregar_cantidad_dentro_del_rango... [2]</t>
  </si>
  <si>
    <t xml:space="preserve">Pasan</t>
  </si>
  <si>
    <t xml:space="preserve">CP-03</t>
  </si>
  <si>
    <t xml:space="preserve">Agregar 49 unidades</t>
  </si>
  <si>
    <t xml:space="preserve">Cantidad 49</t>
  </si>
  <si>
    <t xml:space="preserve">Carrito con 49 unidades</t>
  </si>
  <si>
    <t xml:space="preserve">test_agregar_cantidad_dentro_del_rango... [49]</t>
  </si>
  <si>
    <t xml:space="preserve">Fallan</t>
  </si>
  <si>
    <t xml:space="preserve">CP-04</t>
  </si>
  <si>
    <t xml:space="preserve">Agregar 50 unidades (límite superior)</t>
  </si>
  <si>
    <t xml:space="preserve">Cantidad 50</t>
  </si>
  <si>
    <t xml:space="preserve">Carrito con 50 unidades</t>
  </si>
  <si>
    <t xml:space="preserve">test_agregar_cantidad_dentro_del_rango... [50]</t>
  </si>
  <si>
    <t xml:space="preserve">Pendientes</t>
  </si>
  <si>
    <t xml:space="preserve">CP-05</t>
  </si>
  <si>
    <t xml:space="preserve">Se consulta el stock al inventario (mock)</t>
  </si>
  <si>
    <t xml:space="preserve">Agregar 3 unidades</t>
  </si>
  <si>
    <t xml:space="preserve">obtener_stock llamado 1 vez con el SKU</t>
  </si>
  <si>
    <t xml:space="preserve">test_agregar_producto_consulta_el_stock_del_inventario</t>
  </si>
  <si>
    <t xml:space="preserve">% de éxito</t>
  </si>
  <si>
    <t xml:space="preserve">CP-06</t>
  </si>
  <si>
    <t xml:space="preserve">Cantidad igual al stock disponible</t>
  </si>
  <si>
    <t xml:space="preserve">Stock 5; cantidad 5</t>
  </si>
  <si>
    <t xml:space="preserve">Se agrega sin error</t>
  </si>
  <si>
    <t xml:space="preserve">test_agregar_cantidad_igual_al_stock_es_permitido</t>
  </si>
  <si>
    <t xml:space="preserve">CP-07</t>
  </si>
  <si>
    <t xml:space="preserve">CA2</t>
  </si>
  <si>
    <t xml:space="preserve">Rechazar 0 unidades</t>
  </si>
  <si>
    <t xml:space="preserve">Cantidad 0</t>
  </si>
  <si>
    <t xml:space="preserve">CantidadInvalidaError</t>
  </si>
  <si>
    <t xml:space="preserve">test_agregar_cantidad_fuera_de_rango... [0]</t>
  </si>
  <si>
    <t xml:space="preserve">CP-08</t>
  </si>
  <si>
    <t xml:space="preserve">Rechazar cantidad negativa</t>
  </si>
  <si>
    <t xml:space="preserve">Cantidad -1</t>
  </si>
  <si>
    <t xml:space="preserve">test_agregar_cantidad_fuera_de_rango... [-1]</t>
  </si>
  <si>
    <t xml:space="preserve">CP-09</t>
  </si>
  <si>
    <t xml:space="preserve">Rechazar 51 unidades (límite)</t>
  </si>
  <si>
    <t xml:space="preserve">Cantidad 51</t>
  </si>
  <si>
    <t xml:space="preserve">test_agregar_cantidad_fuera_de_rango... [51]</t>
  </si>
  <si>
    <t xml:space="preserve">CP-10</t>
  </si>
  <si>
    <t xml:space="preserve">Cantidad inválida no consulta inventario</t>
  </si>
  <si>
    <t xml:space="preserve">Mock sin llamadas; carrito vacío</t>
  </si>
  <si>
    <t xml:space="preserve">test_cantidad_invalida_no_consulta_inventario...</t>
  </si>
  <si>
    <t xml:space="preserve">CP-11</t>
  </si>
  <si>
    <t xml:space="preserve">CA3</t>
  </si>
  <si>
    <t xml:space="preserve">Stock menor que lo pedido</t>
  </si>
  <si>
    <t xml:space="preserve">Stock 2; cantidad 3</t>
  </si>
  <si>
    <t xml:space="preserve">StockInsuficienteError</t>
  </si>
  <si>
    <t xml:space="preserve">test_agregar_mas_que_el_stock_lanza_stock_insuficiente</t>
  </si>
  <si>
    <t xml:space="preserve">CP-12</t>
  </si>
  <si>
    <t xml:space="preserve">CA4</t>
  </si>
  <si>
    <t xml:space="preserve">Producto repetido suma cantidades</t>
  </si>
  <si>
    <t xml:space="preserve">2 + 3 unidades del mismo SKU</t>
  </si>
  <si>
    <t xml:space="preserve">Cantidad 5; 1 línea</t>
  </si>
  <si>
    <t xml:space="preserve">test_agregar_producto_existente_suma_las_cantidades</t>
  </si>
  <si>
    <t xml:space="preserve">CP-13</t>
  </si>
  <si>
    <t xml:space="preserve">CA3/CA4</t>
  </si>
  <si>
    <t xml:space="preserve">Suma acumulada supera el stock</t>
  </si>
  <si>
    <t xml:space="preserve">Stock 5; 4 + 2</t>
  </si>
  <si>
    <t xml:space="preserve">StockInsuficienteError; sigue en 4</t>
  </si>
  <si>
    <t xml:space="preserve">test_suma_de_cantidades_que_supera_el_stock...</t>
  </si>
  <si>
    <t xml:space="preserve">CP-14</t>
  </si>
  <si>
    <t xml:space="preserve">HU-02</t>
  </si>
  <si>
    <t xml:space="preserve">IVA 0 %</t>
  </si>
  <si>
    <t xml:space="preserve">Producto $100.000 tarifa 0</t>
  </si>
  <si>
    <t xml:space="preserve">IVA $0</t>
  </si>
  <si>
    <t xml:space="preserve">test_iva_del_producto_corresponde_a_su_tarifa [0]</t>
  </si>
  <si>
    <t xml:space="preserve">CP-15</t>
  </si>
  <si>
    <t xml:space="preserve">IVA 5 %</t>
  </si>
  <si>
    <t xml:space="preserve">Producto $100.000 tarifa 5</t>
  </si>
  <si>
    <t xml:space="preserve">IVA $5.000</t>
  </si>
  <si>
    <t xml:space="preserve">test_iva_del_producto_corresponde_a_su_tarifa [5]</t>
  </si>
  <si>
    <t xml:space="preserve">CP-16</t>
  </si>
  <si>
    <t xml:space="preserve">IVA 19 %</t>
  </si>
  <si>
    <t xml:space="preserve">Producto $100.000 tarifa 19</t>
  </si>
  <si>
    <t xml:space="preserve">IVA $19.000</t>
  </si>
  <si>
    <t xml:space="preserve">test_iva_del_producto_corresponde_a_su_tarifa [19]</t>
  </si>
  <si>
    <t xml:space="preserve">CP-17</t>
  </si>
  <si>
    <t xml:space="preserve">IVA con tarifas mezcladas</t>
  </si>
  <si>
    <t xml:space="preserve">$80.000 al 19 % + $80.000 al 5 %</t>
  </si>
  <si>
    <t xml:space="preserve">IVA $19.200</t>
  </si>
  <si>
    <t xml:space="preserve">test_iva_se_calcula_por_producto_con_tarifas_distintas</t>
  </si>
  <si>
    <t xml:space="preserve">CP-18</t>
  </si>
  <si>
    <t xml:space="preserve">Tarifa de IVA inválida</t>
  </si>
  <si>
    <t xml:space="preserve">Tarifa 3, 10, 16, -5</t>
  </si>
  <si>
    <t xml:space="preserve">ProductoInvalidoError</t>
  </si>
  <si>
    <t xml:space="preserve">test_producto_con_tarifa_de_iva_invalida...</t>
  </si>
  <si>
    <t xml:space="preserve">CP-19</t>
  </si>
  <si>
    <t xml:space="preserve">IVA sobre valor con descuento</t>
  </si>
  <si>
    <t xml:space="preserve">$200.000 al 19 % (desc. 5 %)</t>
  </si>
  <si>
    <t xml:space="preserve">IVA $36.100</t>
  </si>
  <si>
    <t xml:space="preserve">test_iva_se_calcula_sobre_el_valor_con_descuento</t>
  </si>
  <si>
    <t xml:space="preserve">CP-20</t>
  </si>
  <si>
    <t xml:space="preserve">Redondeo al peso más cercano</t>
  </si>
  <si>
    <t xml:space="preserve">$1.050 al 5 % = 52,5</t>
  </si>
  <si>
    <t xml:space="preserve">IVA $53</t>
  </si>
  <si>
    <t xml:space="preserve">test_iva_se_redondea_al_peso_mas_cercano</t>
  </si>
  <si>
    <t xml:space="preserve">CP-21</t>
  </si>
  <si>
    <t xml:space="preserve">—</t>
  </si>
  <si>
    <t xml:space="preserve">Precio no positivo</t>
  </si>
  <si>
    <t xml:space="preserve">Precio 0 y -1.000</t>
  </si>
  <si>
    <t xml:space="preserve">test_producto_con_precio_no_positivo...</t>
  </si>
  <si>
    <t xml:space="preserve">CP-22</t>
  </si>
  <si>
    <t xml:space="preserve">HU-03</t>
  </si>
  <si>
    <t xml:space="preserve">Subtotal $0 sin descuento</t>
  </si>
  <si>
    <t xml:space="preserve">Subtotal 0</t>
  </si>
  <si>
    <t xml:space="preserve">0 %</t>
  </si>
  <si>
    <t xml:space="preserve">test_porcentaje_de_descuento_segun_subtotal [0]</t>
  </si>
  <si>
    <t xml:space="preserve">CP-23</t>
  </si>
  <si>
    <t xml:space="preserve">Subtotal $199.999 (límite)</t>
  </si>
  <si>
    <t xml:space="preserve">Subtotal 199.999</t>
  </si>
  <si>
    <t xml:space="preserve">test_porcentaje_de_descuento_segun_subtotal [199999]</t>
  </si>
  <si>
    <t xml:space="preserve">CP-24</t>
  </si>
  <si>
    <t xml:space="preserve">Subtotal $200.000 (límite)</t>
  </si>
  <si>
    <t xml:space="preserve">Subtotal 200.000</t>
  </si>
  <si>
    <t xml:space="preserve">5 % = $10.000</t>
  </si>
  <si>
    <t xml:space="preserve">test_subtotal_de_200000_aplica_descuento_del_5...</t>
  </si>
  <si>
    <t xml:space="preserve">CP-25</t>
  </si>
  <si>
    <t xml:space="preserve">Subtotal $499.999 (límite)</t>
  </si>
  <si>
    <t xml:space="preserve">Subtotal 499.999</t>
  </si>
  <si>
    <t xml:space="preserve">5 %</t>
  </si>
  <si>
    <t xml:space="preserve">test_porcentaje_de_descuento_segun_subtotal [499999]</t>
  </si>
  <si>
    <t xml:space="preserve">CP-26</t>
  </si>
  <si>
    <t xml:space="preserve">Subtotal $500.000 (límite)</t>
  </si>
  <si>
    <t xml:space="preserve">Subtotal 500.000</t>
  </si>
  <si>
    <t xml:space="preserve">10 % = $50.000</t>
  </si>
  <si>
    <t xml:space="preserve">test_subtotal_de_500000_aplica_descuento_del_10...</t>
  </si>
  <si>
    <t xml:space="preserve">CP-27</t>
  </si>
  <si>
    <t xml:space="preserve">Subtotal $1.000.000</t>
  </si>
  <si>
    <t xml:space="preserve">Subtotal 1.000.000</t>
  </si>
  <si>
    <t xml:space="preserve">10 %</t>
  </si>
  <si>
    <t xml:space="preserve">test_porcentaje_de_descuento_segun_subtotal [1000000]</t>
  </si>
  <si>
    <t xml:space="preserve">CP-28</t>
  </si>
  <si>
    <t xml:space="preserve">HU-04</t>
  </si>
  <si>
    <t xml:space="preserve">SABANERO10 con subtotal exacto $50.000</t>
  </si>
  <si>
    <t xml:space="preserve">Subtotal 50.000</t>
  </si>
  <si>
    <t xml:space="preserve">Descuento $5.000</t>
  </si>
  <si>
    <t xml:space="preserve">test_sabanero10_con_subtotal_minimo...</t>
  </si>
  <si>
    <t xml:space="preserve">CP-29</t>
  </si>
  <si>
    <t xml:space="preserve">SABANERO10 con $49.999</t>
  </si>
  <si>
    <t xml:space="preserve">Subtotal 49.999</t>
  </si>
  <si>
    <t xml:space="preserve">CuponInvalidoError</t>
  </si>
  <si>
    <t xml:space="preserve">test_sabanero10_con_subtotal_bajo_el_minimo...</t>
  </si>
  <si>
    <t xml:space="preserve">CP-30</t>
  </si>
  <si>
    <t xml:space="preserve">Código en minúsculas y con espacios</t>
  </si>
  <si>
    <t xml:space="preserve">'  sabanero10 '</t>
  </si>
  <si>
    <t xml:space="preserve">Descuento $10.000</t>
  </si>
  <si>
    <t xml:space="preserve">test_codigo_de_cupon_no_distingue...</t>
  </si>
  <si>
    <t xml:space="preserve">CP-31</t>
  </si>
  <si>
    <t xml:space="preserve">ENVIOGRATIS</t>
  </si>
  <si>
    <t xml:space="preserve">Compra $10.000 a Sampués</t>
  </si>
  <si>
    <t xml:space="preserve">Envío $0</t>
  </si>
  <si>
    <t xml:space="preserve">test_enviogratis_deja_el_envio_en_cero</t>
  </si>
  <si>
    <t xml:space="preserve">CP-32</t>
  </si>
  <si>
    <t xml:space="preserve">Cupón inexistente</t>
  </si>
  <si>
    <t xml:space="preserve">NOEXISTE, SABANERO11, ' '</t>
  </si>
  <si>
    <t xml:space="preserve">test_cupon_inexistente_lanza_error...</t>
  </si>
  <si>
    <t xml:space="preserve">CP-33</t>
  </si>
  <si>
    <t xml:space="preserve">Cupón vencido</t>
  </si>
  <si>
    <t xml:space="preserve">NAVIDAD2025 (venció 31/12/2025)</t>
  </si>
  <si>
    <t xml:space="preserve">CuponInvalidoError 'vencido'</t>
  </si>
  <si>
    <t xml:space="preserve">test_cupon_vencido_lanza_error...</t>
  </si>
  <si>
    <t xml:space="preserve">CP-34</t>
  </si>
  <si>
    <t xml:space="preserve">Cupón en su último día de vigencia</t>
  </si>
  <si>
    <t xml:space="preserve">SABANERO10 el 31/12/2027</t>
  </si>
  <si>
    <t xml:space="preserve">Válido; descuento $10.000</t>
  </si>
  <si>
    <t xml:space="preserve">test_cupon_vigente_el_ultimo_dia...</t>
  </si>
  <si>
    <t xml:space="preserve">CP-35</t>
  </si>
  <si>
    <t xml:space="preserve">Volumen 10 % + SABANERO10 no se suman</t>
  </si>
  <si>
    <t xml:space="preserve">Subtotal 600.000</t>
  </si>
  <si>
    <t xml:space="preserve">Descuento $60.000 (10 %)</t>
  </si>
  <si>
    <t xml:space="preserve">test_con_descuento_por_volumen_mayor...</t>
  </si>
  <si>
    <t xml:space="preserve">CP-36</t>
  </si>
  <si>
    <t xml:space="preserve">Cupón 10 % supera volumen 5 %</t>
  </si>
  <si>
    <t xml:space="preserve">Subtotal 300.000</t>
  </si>
  <si>
    <t xml:space="preserve">Descuento $30.000 (10 %)</t>
  </si>
  <si>
    <t xml:space="preserve">test_cupon_de_10_supera_al_descuento...</t>
  </si>
  <si>
    <t xml:space="preserve">CP-37</t>
  </si>
  <si>
    <t xml:space="preserve">HU-05</t>
  </si>
  <si>
    <t xml:space="preserve">Envío Sincelejo</t>
  </si>
  <si>
    <t xml:space="preserve">Municipio Sincelejo (y variantes de mayúsculas)</t>
  </si>
  <si>
    <t xml:space="preserve">$8.000</t>
  </si>
  <si>
    <t xml:space="preserve">test_costo_de_envio_segun_municipio [Sincelejo...]</t>
  </si>
  <si>
    <t xml:space="preserve">CP-38</t>
  </si>
  <si>
    <t xml:space="preserve">Envío otros municipios de Sucre</t>
  </si>
  <si>
    <t xml:space="preserve">Sampués, Corozal, Tolú</t>
  </si>
  <si>
    <t xml:space="preserve">$15.000</t>
  </si>
  <si>
    <t xml:space="preserve">test_costo_de_envio_segun_municipio [Sampués...]</t>
  </si>
  <si>
    <t xml:space="preserve">CP-39</t>
  </si>
  <si>
    <t xml:space="preserve">Productos con IVA por $149.999 (límite)</t>
  </si>
  <si>
    <t xml:space="preserve">1 producto $149.999 al 19 %</t>
  </si>
  <si>
    <t xml:space="preserve">Envío $8.000</t>
  </si>
  <si>
    <t xml:space="preserve">test_productos_con_iva_por_149999_pagan_envio</t>
  </si>
  <si>
    <t xml:space="preserve">CP-40</t>
  </si>
  <si>
    <t xml:space="preserve">Productos con IVA por $150.000 (límite)</t>
  </si>
  <si>
    <t xml:space="preserve">1 producto $150.000 al 19 %</t>
  </si>
  <si>
    <t xml:space="preserve">test_productos_con_iva_por_150000_tienen_envio_gratis</t>
  </si>
  <si>
    <t xml:space="preserve">CP-41</t>
  </si>
  <si>
    <t xml:space="preserve">Productos sin IVA no cuentan</t>
  </si>
  <si>
    <t xml:space="preserve">$150.000 con tarifa 0</t>
  </si>
  <si>
    <t xml:space="preserve">test_productos_sin_iva_no_cuentan...</t>
  </si>
  <si>
    <t xml:space="preserve">CP-42</t>
  </si>
  <si>
    <t xml:space="preserve">Suma de productos con IVA distintos</t>
  </si>
  <si>
    <t xml:space="preserve">$100.000 (19 %) + $50.000 (5 %)</t>
  </si>
  <si>
    <t xml:space="preserve">test_la_suma_de_productos_con_iva_distintos...</t>
  </si>
  <si>
    <t xml:space="preserve">CP-43</t>
  </si>
  <si>
    <t xml:space="preserve">Fórmula del total</t>
  </si>
  <si>
    <t xml:space="preserve">$100.000 al 19 %, Sincelejo</t>
  </si>
  <si>
    <t xml:space="preserve">Total $127.000</t>
  </si>
  <si>
    <t xml:space="preserve">test_total_es_subtotal_menos_descuento...</t>
  </si>
  <si>
    <t xml:space="preserve">CP-44</t>
  </si>
  <si>
    <t xml:space="preserve">Liquidar carrito vacío</t>
  </si>
  <si>
    <t xml:space="preserve">Carrito sin productos</t>
  </si>
  <si>
    <t xml:space="preserve">CarritoVacioError</t>
  </si>
  <si>
    <t xml:space="preserve">test_liquidar_carrito_vacio_lanza_error</t>
  </si>
  <si>
    <t xml:space="preserve">CP-45</t>
  </si>
  <si>
    <t xml:space="preserve">HU-06</t>
  </si>
  <si>
    <t xml:space="preserve">999 pesos = 0 puntos (límite)</t>
  </si>
  <si>
    <t xml:space="preserve">Total 999</t>
  </si>
  <si>
    <t xml:space="preserve">0 puntos</t>
  </si>
  <si>
    <t xml:space="preserve">test_cliente_estandar_recibe_un_punto... [999]</t>
  </si>
  <si>
    <t xml:space="preserve">CP-46</t>
  </si>
  <si>
    <t xml:space="preserve">1.000 pesos = 1 punto (límite)</t>
  </si>
  <si>
    <t xml:space="preserve">Total 1.000</t>
  </si>
  <si>
    <t xml:space="preserve">1 punto</t>
  </si>
  <si>
    <t xml:space="preserve">test_cliente_estandar_recibe_un_punto... [1000]</t>
  </si>
  <si>
    <t xml:space="preserve">CP-47</t>
  </si>
  <si>
    <t xml:space="preserve">Puntos no incluyen envío</t>
  </si>
  <si>
    <t xml:space="preserve">$10.000 sin IVA a Sincelejo (total 18.000)</t>
  </si>
  <si>
    <t xml:space="preserve">10 puntos</t>
  </si>
  <si>
    <t xml:space="preserve">test_los_puntos_se_calculan_sin_incluir_el_envio</t>
  </si>
  <si>
    <t xml:space="preserve">CP-48</t>
  </si>
  <si>
    <t xml:space="preserve">Cliente ORO duplica puntos</t>
  </si>
  <si>
    <t xml:space="preserve">Total 1.000 / 250.515</t>
  </si>
  <si>
    <t xml:space="preserve">2 / 500 puntos</t>
  </si>
  <si>
    <t xml:space="preserve">test_cliente_oro_recibe_el_doble_de_puntos</t>
  </si>
  <si>
    <t xml:space="preserve">CP-49</t>
  </si>
  <si>
    <t xml:space="preserve">Ejemplo</t>
  </si>
  <si>
    <t xml:space="preserve">Ejemplo del enunciado (ESTÁNDAR)</t>
  </si>
  <si>
    <t xml:space="preserve">1 licuadora, 2 cafés, 4 arroces, Sincelejo</t>
  </si>
  <si>
    <t xml:space="preserve">Subtotal 228.000; desc. 11.400; IVA 33.915; envío 0; total 250.515; 250 pts</t>
  </si>
  <si>
    <t xml:space="preserve">test_ejemplo_del_enunciado_cliente_estandar_en_sincelejo</t>
  </si>
  <si>
    <t xml:space="preserve">CP-50</t>
  </si>
  <si>
    <t xml:space="preserve">Mismo ejemplo con cliente ORO</t>
  </si>
  <si>
    <t xml:space="preserve">Igual al anterior, categoría ORO</t>
  </si>
  <si>
    <t xml:space="preserve">Total 250.515; 500 puntos</t>
  </si>
  <si>
    <t xml:space="preserve">test_mismo_ejemplo_con_cliente_oro_duplica_los_puntos</t>
  </si>
  <si>
    <t xml:space="preserve">Casos que lo cubren</t>
  </si>
  <si>
    <t xml:space="preserve">CP-01, CP-02, CP-03, CP-04, CP-05, CP-06</t>
  </si>
  <si>
    <t xml:space="preserve">CP-07, CP-08, CP-09, CP-10</t>
  </si>
  <si>
    <t xml:space="preserve">CP-11, CP-13</t>
  </si>
  <si>
    <t xml:space="preserve">CP-12, CP-13</t>
  </si>
  <si>
    <t xml:space="preserve">CP-14, CP-15, CP-16, CP-17, CP-18, CP-20</t>
  </si>
  <si>
    <t xml:space="preserve">CP-22, CP-23</t>
  </si>
  <si>
    <t xml:space="preserve">CP-24, CP-25</t>
  </si>
  <si>
    <t xml:space="preserve">CP-26, CP-27</t>
  </si>
  <si>
    <t xml:space="preserve">CP-28, CP-29, CP-30</t>
  </si>
  <si>
    <t xml:space="preserve">CP-32, CP-33, CP-34</t>
  </si>
  <si>
    <t xml:space="preserve">CP-35, CP-36</t>
  </si>
  <si>
    <t xml:space="preserve">CP-37, CP-38</t>
  </si>
  <si>
    <t xml:space="preserve">CP-39, CP-40, CP-41, CP-42</t>
  </si>
  <si>
    <t xml:space="preserve">CP-45, CP-46, CP-47</t>
  </si>
  <si>
    <t xml:space="preserve">Pasos para reproducir</t>
  </si>
  <si>
    <t xml:space="preserve">Severidad</t>
  </si>
  <si>
    <t xml:space="preserve">Resolución</t>
  </si>
  <si>
    <t xml:space="preserve">DEF-01</t>
  </si>
  <si>
    <t xml:space="preserve">Dato de prueba erróneo en HU-02: dos productos de $100.000 sumaban un subtotal de $200.000 y activaban el descuento del 5 %, por lo que el IVA esperado (24.000) no coincidía (real: 22.800).</t>
  </si>
  <si>
    <t xml:space="preserve">1) Ejecutar test_iva_se_calcula_por_producto_con_tarifas_distintas con 2 x $100.000. 2) Obtener IVA 22.800 en vez de 24.000.</t>
  </si>
  <si>
    <t xml:space="preserve">Media</t>
  </si>
  <si>
    <t xml:space="preserve">Cerrado</t>
  </si>
  <si>
    <t xml:space="preserve">Se cambió el dato de prueba a 2 x $80.000 (subtotal 160.000, sin descuento). El código era correcto.</t>
  </si>
  <si>
    <t xml:space="preserve">DEF-02</t>
  </si>
  <si>
    <t xml:space="preserve">Brecha de cobertura: la validación de precio &lt;= 0 en Producto no tenía prueba (modelos.py, línea 24; cobertura 99 %).</t>
  </si>
  <si>
    <t xml:space="preserve">Ejecutar pytest --cov y revisar la columna Missing.</t>
  </si>
  <si>
    <t xml:space="preserve">Baja</t>
  </si>
  <si>
    <t xml:space="preserve">Se agregó test_producto_con_precio_no_positivo_lanza_error (cobertura 100 %).</t>
  </si>
  <si>
    <t xml:space="preserve">DEF-03</t>
  </si>
  <si>
    <t xml:space="preserve">Ambigüedad en HU-05 CA2: 'productos con IVA suman $150.000 o más' puede leerse como productos con tarifa &gt; 0 (antes del descuento) o como valor con IVA incluido.</t>
  </si>
  <si>
    <t xml:space="preserve">Revisar el enunciado frente al ejemplo (licuadora $180.000 + cafés $30.000).</t>
  </si>
  <si>
    <t xml:space="preserve">Cerrado (decisión)</t>
  </si>
  <si>
    <t xml:space="preserve">Se tomó la suma de productos con tarifa &gt; 0, antes de descuento e IVA. Confirmar con la docente.</t>
  </si>
  <si>
    <t xml:space="preserve">DEF-04</t>
  </si>
  <si>
    <t xml:space="preserve">Ambigüedad en HU-04 CA1: no se define qué pasa con SABANERO10 si el subtotal es menor a $50.000.</t>
  </si>
  <si>
    <t xml:space="preserve">Aplicar SABANERO10 a un subtotal de $49.999.</t>
  </si>
  <si>
    <t xml:space="preserve">Se rechaza con CuponInvalidoError. Confirmar con la docente.</t>
  </si>
  <si>
    <t xml:space="preserve">DEF-05</t>
  </si>
  <si>
    <t xml:space="preserve">Ambigüedad en HU-01 CA3/CA4: el stock se valida contra la cantidad acumulada del carrito, no solo contra la última adición.</t>
  </si>
  <si>
    <t xml:space="preserve">Stock 5: agregar 4 y luego 2.</t>
  </si>
  <si>
    <t xml:space="preserve">Se valida la cantidad acumulada (test CP-13).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</si>
</sst>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B3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6" min="4" style="0" width="38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J4" s="4" t="s">
        <v>10</v>
      </c>
    </row>
    <row r="5" customFormat="false" ht="15" hidden="false" customHeight="fals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J5" s="6" t="s">
        <v>19</v>
      </c>
      <c r="K5" s="6" t="n">
        <f aca="false">COUNTA(A5:A54)</f>
        <v>50</v>
      </c>
    </row>
    <row r="6" customFormat="false" ht="15" hidden="false" customHeight="false" outlineLevel="0" collapsed="false">
      <c r="A6" s="5" t="s">
        <v>20</v>
      </c>
      <c r="B6" s="5" t="s">
        <v>12</v>
      </c>
      <c r="C6" s="5" t="s">
        <v>13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18</v>
      </c>
      <c r="J6" s="6" t="s">
        <v>25</v>
      </c>
      <c r="K6" s="6" t="n">
        <f aca="false">COUNTIF(H5:H54,"Pasa")</f>
        <v>50</v>
      </c>
    </row>
    <row r="7" customFormat="false" ht="15" hidden="false" customHeight="false" outlineLevel="0" collapsed="false">
      <c r="A7" s="5" t="s">
        <v>26</v>
      </c>
      <c r="B7" s="5" t="s">
        <v>12</v>
      </c>
      <c r="C7" s="5" t="s">
        <v>13</v>
      </c>
      <c r="D7" s="5" t="s">
        <v>27</v>
      </c>
      <c r="E7" s="5" t="s">
        <v>28</v>
      </c>
      <c r="F7" s="5" t="s">
        <v>29</v>
      </c>
      <c r="G7" s="5" t="s">
        <v>30</v>
      </c>
      <c r="H7" s="5" t="s">
        <v>18</v>
      </c>
      <c r="J7" s="6" t="s">
        <v>31</v>
      </c>
      <c r="K7" s="6" t="n">
        <f aca="false">COUNTIF(H5:H54,"Falla")</f>
        <v>0</v>
      </c>
    </row>
    <row r="8" customFormat="false" ht="15" hidden="false" customHeight="false" outlineLevel="0" collapsed="false">
      <c r="A8" s="5" t="s">
        <v>32</v>
      </c>
      <c r="B8" s="5" t="s">
        <v>12</v>
      </c>
      <c r="C8" s="5" t="s">
        <v>13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18</v>
      </c>
      <c r="J8" s="6" t="s">
        <v>37</v>
      </c>
      <c r="K8" s="6" t="n">
        <f aca="false">COUNTIF(H5:H54,"Pendiente")</f>
        <v>0</v>
      </c>
    </row>
    <row r="9" customFormat="false" ht="15" hidden="false" customHeight="false" outlineLevel="0" collapsed="false">
      <c r="A9" s="5" t="s">
        <v>38</v>
      </c>
      <c r="B9" s="5" t="s">
        <v>12</v>
      </c>
      <c r="C9" s="5" t="s">
        <v>13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18</v>
      </c>
      <c r="J9" s="6" t="s">
        <v>43</v>
      </c>
      <c r="K9" s="7" t="n">
        <f aca="false">IF(K5=0,0,K6/K5)</f>
        <v>1</v>
      </c>
    </row>
    <row r="10" customFormat="false" ht="15" hidden="false" customHeight="false" outlineLevel="0" collapsed="false">
      <c r="A10" s="5" t="s">
        <v>44</v>
      </c>
      <c r="B10" s="5" t="s">
        <v>12</v>
      </c>
      <c r="C10" s="5" t="s">
        <v>13</v>
      </c>
      <c r="D10" s="5" t="s">
        <v>45</v>
      </c>
      <c r="E10" s="5" t="s">
        <v>46</v>
      </c>
      <c r="F10" s="5" t="s">
        <v>47</v>
      </c>
      <c r="G10" s="5" t="s">
        <v>48</v>
      </c>
      <c r="H10" s="5" t="s">
        <v>18</v>
      </c>
    </row>
    <row r="11" customFormat="false" ht="15" hidden="false" customHeight="false" outlineLevel="0" collapsed="false">
      <c r="A11" s="5" t="s">
        <v>49</v>
      </c>
      <c r="B11" s="5" t="s">
        <v>12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18</v>
      </c>
    </row>
    <row r="12" customFormat="false" ht="15" hidden="false" customHeight="false" outlineLevel="0" collapsed="false">
      <c r="A12" s="5" t="s">
        <v>55</v>
      </c>
      <c r="B12" s="5" t="s">
        <v>12</v>
      </c>
      <c r="C12" s="5" t="s">
        <v>50</v>
      </c>
      <c r="D12" s="5" t="s">
        <v>56</v>
      </c>
      <c r="E12" s="5" t="s">
        <v>57</v>
      </c>
      <c r="F12" s="5" t="s">
        <v>53</v>
      </c>
      <c r="G12" s="5" t="s">
        <v>58</v>
      </c>
      <c r="H12" s="5" t="s">
        <v>18</v>
      </c>
    </row>
    <row r="13" customFormat="false" ht="15" hidden="false" customHeight="false" outlineLevel="0" collapsed="false">
      <c r="A13" s="5" t="s">
        <v>59</v>
      </c>
      <c r="B13" s="5" t="s">
        <v>12</v>
      </c>
      <c r="C13" s="5" t="s">
        <v>50</v>
      </c>
      <c r="D13" s="5" t="s">
        <v>60</v>
      </c>
      <c r="E13" s="5" t="s">
        <v>61</v>
      </c>
      <c r="F13" s="5" t="s">
        <v>53</v>
      </c>
      <c r="G13" s="5" t="s">
        <v>62</v>
      </c>
      <c r="H13" s="5" t="s">
        <v>18</v>
      </c>
    </row>
    <row r="14" customFormat="false" ht="15" hidden="false" customHeight="false" outlineLevel="0" collapsed="false">
      <c r="A14" s="5" t="s">
        <v>63</v>
      </c>
      <c r="B14" s="5" t="s">
        <v>12</v>
      </c>
      <c r="C14" s="5" t="s">
        <v>50</v>
      </c>
      <c r="D14" s="5" t="s">
        <v>64</v>
      </c>
      <c r="E14" s="5" t="s">
        <v>52</v>
      </c>
      <c r="F14" s="5" t="s">
        <v>65</v>
      </c>
      <c r="G14" s="5" t="s">
        <v>66</v>
      </c>
      <c r="H14" s="5" t="s">
        <v>18</v>
      </c>
    </row>
    <row r="15" customFormat="false" ht="15" hidden="false" customHeight="false" outlineLevel="0" collapsed="false">
      <c r="A15" s="5" t="s">
        <v>67</v>
      </c>
      <c r="B15" s="5" t="s">
        <v>12</v>
      </c>
      <c r="C15" s="5" t="s">
        <v>68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18</v>
      </c>
    </row>
    <row r="16" customFormat="false" ht="15" hidden="false" customHeight="false" outlineLevel="0" collapsed="false">
      <c r="A16" s="5" t="s">
        <v>73</v>
      </c>
      <c r="B16" s="5" t="s">
        <v>12</v>
      </c>
      <c r="C16" s="5" t="s">
        <v>74</v>
      </c>
      <c r="D16" s="5" t="s">
        <v>75</v>
      </c>
      <c r="E16" s="5" t="s">
        <v>76</v>
      </c>
      <c r="F16" s="5" t="s">
        <v>77</v>
      </c>
      <c r="G16" s="5" t="s">
        <v>78</v>
      </c>
      <c r="H16" s="5" t="s">
        <v>18</v>
      </c>
    </row>
    <row r="17" customFormat="false" ht="15" hidden="false" customHeight="false" outlineLevel="0" collapsed="false">
      <c r="A17" s="5" t="s">
        <v>79</v>
      </c>
      <c r="B17" s="5" t="s">
        <v>12</v>
      </c>
      <c r="C17" s="5" t="s">
        <v>80</v>
      </c>
      <c r="D17" s="5" t="s">
        <v>81</v>
      </c>
      <c r="E17" s="5" t="s">
        <v>82</v>
      </c>
      <c r="F17" s="5" t="s">
        <v>83</v>
      </c>
      <c r="G17" s="5" t="s">
        <v>84</v>
      </c>
      <c r="H17" s="5" t="s">
        <v>18</v>
      </c>
    </row>
    <row r="18" customFormat="false" ht="15" hidden="false" customHeight="false" outlineLevel="0" collapsed="false">
      <c r="A18" s="5" t="s">
        <v>85</v>
      </c>
      <c r="B18" s="5" t="s">
        <v>86</v>
      </c>
      <c r="C18" s="5" t="s">
        <v>13</v>
      </c>
      <c r="D18" s="5" t="s">
        <v>87</v>
      </c>
      <c r="E18" s="5" t="s">
        <v>88</v>
      </c>
      <c r="F18" s="5" t="s">
        <v>89</v>
      </c>
      <c r="G18" s="5" t="s">
        <v>90</v>
      </c>
      <c r="H18" s="5" t="s">
        <v>18</v>
      </c>
    </row>
    <row r="19" customFormat="false" ht="15" hidden="false" customHeight="false" outlineLevel="0" collapsed="false">
      <c r="A19" s="5" t="s">
        <v>91</v>
      </c>
      <c r="B19" s="5" t="s">
        <v>86</v>
      </c>
      <c r="C19" s="5" t="s">
        <v>13</v>
      </c>
      <c r="D19" s="5" t="s">
        <v>92</v>
      </c>
      <c r="E19" s="5" t="s">
        <v>93</v>
      </c>
      <c r="F19" s="5" t="s">
        <v>94</v>
      </c>
      <c r="G19" s="5" t="s">
        <v>95</v>
      </c>
      <c r="H19" s="5" t="s">
        <v>18</v>
      </c>
    </row>
    <row r="20" customFormat="false" ht="15" hidden="false" customHeight="false" outlineLevel="0" collapsed="false">
      <c r="A20" s="5" t="s">
        <v>96</v>
      </c>
      <c r="B20" s="5" t="s">
        <v>86</v>
      </c>
      <c r="C20" s="5" t="s">
        <v>13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18</v>
      </c>
    </row>
    <row r="21" customFormat="false" ht="15" hidden="false" customHeight="false" outlineLevel="0" collapsed="false">
      <c r="A21" s="5" t="s">
        <v>101</v>
      </c>
      <c r="B21" s="5" t="s">
        <v>86</v>
      </c>
      <c r="C21" s="5" t="s">
        <v>13</v>
      </c>
      <c r="D21" s="5" t="s">
        <v>102</v>
      </c>
      <c r="E21" s="5" t="s">
        <v>103</v>
      </c>
      <c r="F21" s="5" t="s">
        <v>104</v>
      </c>
      <c r="G21" s="5" t="s">
        <v>105</v>
      </c>
      <c r="H21" s="5" t="s">
        <v>18</v>
      </c>
    </row>
    <row r="22" customFormat="false" ht="15" hidden="false" customHeight="false" outlineLevel="0" collapsed="false">
      <c r="A22" s="5" t="s">
        <v>106</v>
      </c>
      <c r="B22" s="5" t="s">
        <v>86</v>
      </c>
      <c r="C22" s="5" t="s">
        <v>13</v>
      </c>
      <c r="D22" s="5" t="s">
        <v>107</v>
      </c>
      <c r="E22" s="5" t="s">
        <v>108</v>
      </c>
      <c r="F22" s="5" t="s">
        <v>109</v>
      </c>
      <c r="G22" s="5" t="s">
        <v>110</v>
      </c>
      <c r="H22" s="5" t="s">
        <v>18</v>
      </c>
    </row>
    <row r="23" customFormat="false" ht="15" hidden="false" customHeight="false" outlineLevel="0" collapsed="false">
      <c r="A23" s="5" t="s">
        <v>111</v>
      </c>
      <c r="B23" s="5" t="s">
        <v>86</v>
      </c>
      <c r="C23" s="5" t="s">
        <v>50</v>
      </c>
      <c r="D23" s="5" t="s">
        <v>112</v>
      </c>
      <c r="E23" s="5" t="s">
        <v>113</v>
      </c>
      <c r="F23" s="5" t="s">
        <v>114</v>
      </c>
      <c r="G23" s="5" t="s">
        <v>115</v>
      </c>
      <c r="H23" s="5" t="s">
        <v>18</v>
      </c>
    </row>
    <row r="24" customFormat="false" ht="15" hidden="false" customHeight="false" outlineLevel="0" collapsed="false">
      <c r="A24" s="5" t="s">
        <v>116</v>
      </c>
      <c r="B24" s="5" t="s">
        <v>86</v>
      </c>
      <c r="C24" s="5" t="s">
        <v>13</v>
      </c>
      <c r="D24" s="5" t="s">
        <v>117</v>
      </c>
      <c r="E24" s="5" t="s">
        <v>118</v>
      </c>
      <c r="F24" s="5" t="s">
        <v>119</v>
      </c>
      <c r="G24" s="5" t="s">
        <v>120</v>
      </c>
      <c r="H24" s="5" t="s">
        <v>18</v>
      </c>
    </row>
    <row r="25" customFormat="false" ht="15" hidden="false" customHeight="false" outlineLevel="0" collapsed="false">
      <c r="A25" s="5" t="s">
        <v>121</v>
      </c>
      <c r="B25" s="5" t="s">
        <v>86</v>
      </c>
      <c r="C25" s="5" t="s">
        <v>122</v>
      </c>
      <c r="D25" s="5" t="s">
        <v>123</v>
      </c>
      <c r="E25" s="5" t="s">
        <v>124</v>
      </c>
      <c r="F25" s="5" t="s">
        <v>109</v>
      </c>
      <c r="G25" s="5" t="s">
        <v>125</v>
      </c>
      <c r="H25" s="5" t="s">
        <v>18</v>
      </c>
    </row>
    <row r="26" customFormat="false" ht="15" hidden="false" customHeight="false" outlineLevel="0" collapsed="false">
      <c r="A26" s="5" t="s">
        <v>126</v>
      </c>
      <c r="B26" s="5" t="s">
        <v>127</v>
      </c>
      <c r="C26" s="5" t="s">
        <v>13</v>
      </c>
      <c r="D26" s="5" t="s">
        <v>128</v>
      </c>
      <c r="E26" s="5" t="s">
        <v>129</v>
      </c>
      <c r="F26" s="5" t="s">
        <v>130</v>
      </c>
      <c r="G26" s="5" t="s">
        <v>131</v>
      </c>
      <c r="H26" s="5" t="s">
        <v>18</v>
      </c>
    </row>
    <row r="27" customFormat="false" ht="15" hidden="false" customHeight="false" outlineLevel="0" collapsed="false">
      <c r="A27" s="5" t="s">
        <v>132</v>
      </c>
      <c r="B27" s="5" t="s">
        <v>127</v>
      </c>
      <c r="C27" s="5" t="s">
        <v>13</v>
      </c>
      <c r="D27" s="5" t="s">
        <v>133</v>
      </c>
      <c r="E27" s="5" t="s">
        <v>134</v>
      </c>
      <c r="F27" s="5" t="s">
        <v>130</v>
      </c>
      <c r="G27" s="5" t="s">
        <v>135</v>
      </c>
      <c r="H27" s="5" t="s">
        <v>18</v>
      </c>
    </row>
    <row r="28" customFormat="false" ht="15" hidden="false" customHeight="false" outlineLevel="0" collapsed="false">
      <c r="A28" s="5" t="s">
        <v>136</v>
      </c>
      <c r="B28" s="5" t="s">
        <v>127</v>
      </c>
      <c r="C28" s="5" t="s">
        <v>50</v>
      </c>
      <c r="D28" s="5" t="s">
        <v>137</v>
      </c>
      <c r="E28" s="5" t="s">
        <v>138</v>
      </c>
      <c r="F28" s="5" t="s">
        <v>139</v>
      </c>
      <c r="G28" s="5" t="s">
        <v>140</v>
      </c>
      <c r="H28" s="5" t="s">
        <v>18</v>
      </c>
    </row>
    <row r="29" customFormat="false" ht="15" hidden="false" customHeight="false" outlineLevel="0" collapsed="false">
      <c r="A29" s="5" t="s">
        <v>141</v>
      </c>
      <c r="B29" s="5" t="s">
        <v>127</v>
      </c>
      <c r="C29" s="5" t="s">
        <v>50</v>
      </c>
      <c r="D29" s="5" t="s">
        <v>142</v>
      </c>
      <c r="E29" s="5" t="s">
        <v>143</v>
      </c>
      <c r="F29" s="5" t="s">
        <v>144</v>
      </c>
      <c r="G29" s="5" t="s">
        <v>145</v>
      </c>
      <c r="H29" s="5" t="s">
        <v>18</v>
      </c>
    </row>
    <row r="30" customFormat="false" ht="15" hidden="false" customHeight="false" outlineLevel="0" collapsed="false">
      <c r="A30" s="5" t="s">
        <v>146</v>
      </c>
      <c r="B30" s="5" t="s">
        <v>127</v>
      </c>
      <c r="C30" s="5" t="s">
        <v>68</v>
      </c>
      <c r="D30" s="5" t="s">
        <v>147</v>
      </c>
      <c r="E30" s="5" t="s">
        <v>148</v>
      </c>
      <c r="F30" s="5" t="s">
        <v>149</v>
      </c>
      <c r="G30" s="5" t="s">
        <v>150</v>
      </c>
      <c r="H30" s="5" t="s">
        <v>18</v>
      </c>
    </row>
    <row r="31" customFormat="false" ht="15" hidden="false" customHeight="false" outlineLevel="0" collapsed="false">
      <c r="A31" s="5" t="s">
        <v>151</v>
      </c>
      <c r="B31" s="5" t="s">
        <v>127</v>
      </c>
      <c r="C31" s="5" t="s">
        <v>68</v>
      </c>
      <c r="D31" s="5" t="s">
        <v>152</v>
      </c>
      <c r="E31" s="5" t="s">
        <v>153</v>
      </c>
      <c r="F31" s="5" t="s">
        <v>154</v>
      </c>
      <c r="G31" s="5" t="s">
        <v>155</v>
      </c>
      <c r="H31" s="5" t="s">
        <v>18</v>
      </c>
    </row>
    <row r="32" customFormat="false" ht="15" hidden="false" customHeight="false" outlineLevel="0" collapsed="false">
      <c r="A32" s="5" t="s">
        <v>156</v>
      </c>
      <c r="B32" s="5" t="s">
        <v>157</v>
      </c>
      <c r="C32" s="5" t="s">
        <v>13</v>
      </c>
      <c r="D32" s="5" t="s">
        <v>158</v>
      </c>
      <c r="E32" s="5" t="s">
        <v>159</v>
      </c>
      <c r="F32" s="5" t="s">
        <v>160</v>
      </c>
      <c r="G32" s="5" t="s">
        <v>161</v>
      </c>
      <c r="H32" s="5" t="s">
        <v>18</v>
      </c>
    </row>
    <row r="33" customFormat="false" ht="15" hidden="false" customHeight="false" outlineLevel="0" collapsed="false">
      <c r="A33" s="5" t="s">
        <v>162</v>
      </c>
      <c r="B33" s="5" t="s">
        <v>157</v>
      </c>
      <c r="C33" s="5" t="s">
        <v>13</v>
      </c>
      <c r="D33" s="5" t="s">
        <v>163</v>
      </c>
      <c r="E33" s="5" t="s">
        <v>164</v>
      </c>
      <c r="F33" s="5" t="s">
        <v>165</v>
      </c>
      <c r="G33" s="5" t="s">
        <v>166</v>
      </c>
      <c r="H33" s="5" t="s">
        <v>18</v>
      </c>
    </row>
    <row r="34" customFormat="false" ht="15" hidden="false" customHeight="false" outlineLevel="0" collapsed="false">
      <c r="A34" s="5" t="s">
        <v>167</v>
      </c>
      <c r="B34" s="5" t="s">
        <v>157</v>
      </c>
      <c r="C34" s="5" t="s">
        <v>13</v>
      </c>
      <c r="D34" s="5" t="s">
        <v>168</v>
      </c>
      <c r="E34" s="5" t="s">
        <v>169</v>
      </c>
      <c r="F34" s="5" t="s">
        <v>170</v>
      </c>
      <c r="G34" s="5" t="s">
        <v>171</v>
      </c>
      <c r="H34" s="5" t="s">
        <v>18</v>
      </c>
    </row>
    <row r="35" customFormat="false" ht="15" hidden="false" customHeight="false" outlineLevel="0" collapsed="false">
      <c r="A35" s="5" t="s">
        <v>172</v>
      </c>
      <c r="B35" s="5" t="s">
        <v>157</v>
      </c>
      <c r="C35" s="5" t="s">
        <v>50</v>
      </c>
      <c r="D35" s="5" t="s">
        <v>173</v>
      </c>
      <c r="E35" s="5" t="s">
        <v>174</v>
      </c>
      <c r="F35" s="5" t="s">
        <v>175</v>
      </c>
      <c r="G35" s="5" t="s">
        <v>176</v>
      </c>
      <c r="H35" s="5" t="s">
        <v>18</v>
      </c>
    </row>
    <row r="36" customFormat="false" ht="15" hidden="false" customHeight="false" outlineLevel="0" collapsed="false">
      <c r="A36" s="5" t="s">
        <v>177</v>
      </c>
      <c r="B36" s="5" t="s">
        <v>157</v>
      </c>
      <c r="C36" s="5" t="s">
        <v>68</v>
      </c>
      <c r="D36" s="5" t="s">
        <v>178</v>
      </c>
      <c r="E36" s="5" t="s">
        <v>179</v>
      </c>
      <c r="F36" s="5" t="s">
        <v>165</v>
      </c>
      <c r="G36" s="5" t="s">
        <v>180</v>
      </c>
      <c r="H36" s="5" t="s">
        <v>18</v>
      </c>
    </row>
    <row r="37" customFormat="false" ht="15" hidden="false" customHeight="false" outlineLevel="0" collapsed="false">
      <c r="A37" s="5" t="s">
        <v>181</v>
      </c>
      <c r="B37" s="5" t="s">
        <v>157</v>
      </c>
      <c r="C37" s="5" t="s">
        <v>68</v>
      </c>
      <c r="D37" s="5" t="s">
        <v>182</v>
      </c>
      <c r="E37" s="5" t="s">
        <v>183</v>
      </c>
      <c r="F37" s="5" t="s">
        <v>184</v>
      </c>
      <c r="G37" s="5" t="s">
        <v>185</v>
      </c>
      <c r="H37" s="5" t="s">
        <v>18</v>
      </c>
    </row>
    <row r="38" customFormat="false" ht="15" hidden="false" customHeight="false" outlineLevel="0" collapsed="false">
      <c r="A38" s="5" t="s">
        <v>186</v>
      </c>
      <c r="B38" s="5" t="s">
        <v>157</v>
      </c>
      <c r="C38" s="5" t="s">
        <v>68</v>
      </c>
      <c r="D38" s="5" t="s">
        <v>187</v>
      </c>
      <c r="E38" s="5" t="s">
        <v>188</v>
      </c>
      <c r="F38" s="5" t="s">
        <v>189</v>
      </c>
      <c r="G38" s="5" t="s">
        <v>190</v>
      </c>
      <c r="H38" s="5" t="s">
        <v>18</v>
      </c>
    </row>
    <row r="39" customFormat="false" ht="15" hidden="false" customHeight="false" outlineLevel="0" collapsed="false">
      <c r="A39" s="5" t="s">
        <v>191</v>
      </c>
      <c r="B39" s="5" t="s">
        <v>157</v>
      </c>
      <c r="C39" s="5" t="s">
        <v>74</v>
      </c>
      <c r="D39" s="5" t="s">
        <v>192</v>
      </c>
      <c r="E39" s="5" t="s">
        <v>193</v>
      </c>
      <c r="F39" s="5" t="s">
        <v>194</v>
      </c>
      <c r="G39" s="5" t="s">
        <v>195</v>
      </c>
      <c r="H39" s="5" t="s">
        <v>18</v>
      </c>
    </row>
    <row r="40" customFormat="false" ht="15" hidden="false" customHeight="false" outlineLevel="0" collapsed="false">
      <c r="A40" s="5" t="s">
        <v>196</v>
      </c>
      <c r="B40" s="5" t="s">
        <v>157</v>
      </c>
      <c r="C40" s="5" t="s">
        <v>74</v>
      </c>
      <c r="D40" s="5" t="s">
        <v>197</v>
      </c>
      <c r="E40" s="5" t="s">
        <v>198</v>
      </c>
      <c r="F40" s="5" t="s">
        <v>199</v>
      </c>
      <c r="G40" s="5" t="s">
        <v>200</v>
      </c>
      <c r="H40" s="5" t="s">
        <v>18</v>
      </c>
    </row>
    <row r="41" customFormat="false" ht="23.85" hidden="false" customHeight="false" outlineLevel="0" collapsed="false">
      <c r="A41" s="5" t="s">
        <v>201</v>
      </c>
      <c r="B41" s="5" t="s">
        <v>202</v>
      </c>
      <c r="C41" s="5" t="s">
        <v>13</v>
      </c>
      <c r="D41" s="5" t="s">
        <v>203</v>
      </c>
      <c r="E41" s="5" t="s">
        <v>204</v>
      </c>
      <c r="F41" s="5" t="s">
        <v>205</v>
      </c>
      <c r="G41" s="5" t="s">
        <v>206</v>
      </c>
      <c r="H41" s="5" t="s">
        <v>18</v>
      </c>
    </row>
    <row r="42" customFormat="false" ht="15" hidden="false" customHeight="false" outlineLevel="0" collapsed="false">
      <c r="A42" s="5" t="s">
        <v>207</v>
      </c>
      <c r="B42" s="5" t="s">
        <v>202</v>
      </c>
      <c r="C42" s="5" t="s">
        <v>13</v>
      </c>
      <c r="D42" s="5" t="s">
        <v>208</v>
      </c>
      <c r="E42" s="5" t="s">
        <v>209</v>
      </c>
      <c r="F42" s="5" t="s">
        <v>210</v>
      </c>
      <c r="G42" s="5" t="s">
        <v>211</v>
      </c>
      <c r="H42" s="5" t="s">
        <v>18</v>
      </c>
    </row>
    <row r="43" customFormat="false" ht="15" hidden="false" customHeight="false" outlineLevel="0" collapsed="false">
      <c r="A43" s="5" t="s">
        <v>212</v>
      </c>
      <c r="B43" s="5" t="s">
        <v>202</v>
      </c>
      <c r="C43" s="5" t="s">
        <v>50</v>
      </c>
      <c r="D43" s="5" t="s">
        <v>213</v>
      </c>
      <c r="E43" s="5" t="s">
        <v>214</v>
      </c>
      <c r="F43" s="5" t="s">
        <v>215</v>
      </c>
      <c r="G43" s="5" t="s">
        <v>216</v>
      </c>
      <c r="H43" s="5" t="s">
        <v>18</v>
      </c>
    </row>
    <row r="44" customFormat="false" ht="15" hidden="false" customHeight="false" outlineLevel="0" collapsed="false">
      <c r="A44" s="5" t="s">
        <v>217</v>
      </c>
      <c r="B44" s="5" t="s">
        <v>202</v>
      </c>
      <c r="C44" s="5" t="s">
        <v>50</v>
      </c>
      <c r="D44" s="5" t="s">
        <v>218</v>
      </c>
      <c r="E44" s="5" t="s">
        <v>219</v>
      </c>
      <c r="F44" s="5" t="s">
        <v>175</v>
      </c>
      <c r="G44" s="5" t="s">
        <v>220</v>
      </c>
      <c r="H44" s="5" t="s">
        <v>18</v>
      </c>
    </row>
    <row r="45" customFormat="false" ht="15" hidden="false" customHeight="false" outlineLevel="0" collapsed="false">
      <c r="A45" s="5" t="s">
        <v>221</v>
      </c>
      <c r="B45" s="5" t="s">
        <v>202</v>
      </c>
      <c r="C45" s="5" t="s">
        <v>50</v>
      </c>
      <c r="D45" s="5" t="s">
        <v>222</v>
      </c>
      <c r="E45" s="5" t="s">
        <v>223</v>
      </c>
      <c r="F45" s="5" t="s">
        <v>215</v>
      </c>
      <c r="G45" s="5" t="s">
        <v>224</v>
      </c>
      <c r="H45" s="5" t="s">
        <v>18</v>
      </c>
    </row>
    <row r="46" customFormat="false" ht="15" hidden="false" customHeight="false" outlineLevel="0" collapsed="false">
      <c r="A46" s="5" t="s">
        <v>225</v>
      </c>
      <c r="B46" s="5" t="s">
        <v>202</v>
      </c>
      <c r="C46" s="5" t="s">
        <v>50</v>
      </c>
      <c r="D46" s="5" t="s">
        <v>226</v>
      </c>
      <c r="E46" s="5" t="s">
        <v>227</v>
      </c>
      <c r="F46" s="5" t="s">
        <v>175</v>
      </c>
      <c r="G46" s="5" t="s">
        <v>228</v>
      </c>
      <c r="H46" s="5" t="s">
        <v>18</v>
      </c>
    </row>
    <row r="47" customFormat="false" ht="15" hidden="false" customHeight="false" outlineLevel="0" collapsed="false">
      <c r="A47" s="5" t="s">
        <v>229</v>
      </c>
      <c r="B47" s="5" t="s">
        <v>202</v>
      </c>
      <c r="C47" s="5" t="s">
        <v>68</v>
      </c>
      <c r="D47" s="5" t="s">
        <v>230</v>
      </c>
      <c r="E47" s="5" t="s">
        <v>231</v>
      </c>
      <c r="F47" s="5" t="s">
        <v>232</v>
      </c>
      <c r="G47" s="5" t="s">
        <v>233</v>
      </c>
      <c r="H47" s="5" t="s">
        <v>18</v>
      </c>
    </row>
    <row r="48" customFormat="false" ht="15" hidden="false" customHeight="false" outlineLevel="0" collapsed="false">
      <c r="A48" s="5" t="s">
        <v>234</v>
      </c>
      <c r="B48" s="5" t="s">
        <v>202</v>
      </c>
      <c r="C48" s="5" t="s">
        <v>122</v>
      </c>
      <c r="D48" s="5" t="s">
        <v>235</v>
      </c>
      <c r="E48" s="5" t="s">
        <v>236</v>
      </c>
      <c r="F48" s="5" t="s">
        <v>237</v>
      </c>
      <c r="G48" s="5" t="s">
        <v>238</v>
      </c>
      <c r="H48" s="5" t="s">
        <v>18</v>
      </c>
    </row>
    <row r="49" customFormat="false" ht="15" hidden="false" customHeight="false" outlineLevel="0" collapsed="false">
      <c r="A49" s="5" t="s">
        <v>239</v>
      </c>
      <c r="B49" s="5" t="s">
        <v>240</v>
      </c>
      <c r="C49" s="5" t="s">
        <v>13</v>
      </c>
      <c r="D49" s="5" t="s">
        <v>241</v>
      </c>
      <c r="E49" s="5" t="s">
        <v>242</v>
      </c>
      <c r="F49" s="5" t="s">
        <v>243</v>
      </c>
      <c r="G49" s="5" t="s">
        <v>244</v>
      </c>
      <c r="H49" s="5" t="s">
        <v>18</v>
      </c>
    </row>
    <row r="50" customFormat="false" ht="15" hidden="false" customHeight="false" outlineLevel="0" collapsed="false">
      <c r="A50" s="5" t="s">
        <v>245</v>
      </c>
      <c r="B50" s="5" t="s">
        <v>240</v>
      </c>
      <c r="C50" s="5" t="s">
        <v>13</v>
      </c>
      <c r="D50" s="5" t="s">
        <v>246</v>
      </c>
      <c r="E50" s="5" t="s">
        <v>247</v>
      </c>
      <c r="F50" s="5" t="s">
        <v>248</v>
      </c>
      <c r="G50" s="5" t="s">
        <v>249</v>
      </c>
      <c r="H50" s="5" t="s">
        <v>18</v>
      </c>
    </row>
    <row r="51" customFormat="false" ht="15" hidden="false" customHeight="false" outlineLevel="0" collapsed="false">
      <c r="A51" s="5" t="s">
        <v>250</v>
      </c>
      <c r="B51" s="5" t="s">
        <v>240</v>
      </c>
      <c r="C51" s="5" t="s">
        <v>13</v>
      </c>
      <c r="D51" s="5" t="s">
        <v>251</v>
      </c>
      <c r="E51" s="5" t="s">
        <v>252</v>
      </c>
      <c r="F51" s="5" t="s">
        <v>253</v>
      </c>
      <c r="G51" s="5" t="s">
        <v>254</v>
      </c>
      <c r="H51" s="5" t="s">
        <v>18</v>
      </c>
    </row>
    <row r="52" customFormat="false" ht="15" hidden="false" customHeight="false" outlineLevel="0" collapsed="false">
      <c r="A52" s="5" t="s">
        <v>255</v>
      </c>
      <c r="B52" s="5" t="s">
        <v>240</v>
      </c>
      <c r="C52" s="5" t="s">
        <v>50</v>
      </c>
      <c r="D52" s="5" t="s">
        <v>256</v>
      </c>
      <c r="E52" s="5" t="s">
        <v>257</v>
      </c>
      <c r="F52" s="5" t="s">
        <v>258</v>
      </c>
      <c r="G52" s="5" t="s">
        <v>259</v>
      </c>
      <c r="H52" s="5" t="s">
        <v>18</v>
      </c>
    </row>
    <row r="53" customFormat="false" ht="23.85" hidden="false" customHeight="false" outlineLevel="0" collapsed="false">
      <c r="A53" s="5" t="s">
        <v>260</v>
      </c>
      <c r="B53" s="5" t="s">
        <v>240</v>
      </c>
      <c r="C53" s="5" t="s">
        <v>261</v>
      </c>
      <c r="D53" s="5" t="s">
        <v>262</v>
      </c>
      <c r="E53" s="5" t="s">
        <v>263</v>
      </c>
      <c r="F53" s="5" t="s">
        <v>264</v>
      </c>
      <c r="G53" s="5" t="s">
        <v>265</v>
      </c>
      <c r="H53" s="5" t="s">
        <v>18</v>
      </c>
    </row>
    <row r="54" customFormat="false" ht="15" hidden="false" customHeight="false" outlineLevel="0" collapsed="false">
      <c r="A54" s="5" t="s">
        <v>266</v>
      </c>
      <c r="B54" s="5" t="s">
        <v>240</v>
      </c>
      <c r="C54" s="5" t="s">
        <v>261</v>
      </c>
      <c r="D54" s="5" t="s">
        <v>267</v>
      </c>
      <c r="E54" s="5" t="s">
        <v>268</v>
      </c>
      <c r="F54" s="5" t="s">
        <v>269</v>
      </c>
      <c r="G54" s="5" t="s">
        <v>270</v>
      </c>
      <c r="H5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8" t="s">
        <v>3</v>
      </c>
      <c r="B1" s="8" t="s">
        <v>4</v>
      </c>
      <c r="C1" s="8" t="s">
        <v>271</v>
      </c>
    </row>
    <row r="2" customFormat="false" ht="15" hidden="false" customHeight="false" outlineLevel="0" collapsed="false">
      <c r="A2" s="6" t="s">
        <v>12</v>
      </c>
      <c r="B2" s="6" t="s">
        <v>13</v>
      </c>
      <c r="C2" s="6" t="s">
        <v>272</v>
      </c>
    </row>
    <row r="3" customFormat="false" ht="15" hidden="false" customHeight="false" outlineLevel="0" collapsed="false">
      <c r="A3" s="6" t="s">
        <v>12</v>
      </c>
      <c r="B3" s="6" t="s">
        <v>50</v>
      </c>
      <c r="C3" s="6" t="s">
        <v>273</v>
      </c>
    </row>
    <row r="4" customFormat="false" ht="15" hidden="false" customHeight="false" outlineLevel="0" collapsed="false">
      <c r="A4" s="6" t="s">
        <v>12</v>
      </c>
      <c r="B4" s="6" t="s">
        <v>68</v>
      </c>
      <c r="C4" s="6" t="s">
        <v>274</v>
      </c>
    </row>
    <row r="5" customFormat="false" ht="15" hidden="false" customHeight="false" outlineLevel="0" collapsed="false">
      <c r="A5" s="6" t="s">
        <v>12</v>
      </c>
      <c r="B5" s="6" t="s">
        <v>74</v>
      </c>
      <c r="C5" s="6" t="s">
        <v>275</v>
      </c>
    </row>
    <row r="6" customFormat="false" ht="15" hidden="false" customHeight="false" outlineLevel="0" collapsed="false">
      <c r="A6" s="6" t="s">
        <v>86</v>
      </c>
      <c r="B6" s="6" t="s">
        <v>13</v>
      </c>
      <c r="C6" s="6" t="s">
        <v>276</v>
      </c>
    </row>
    <row r="7" customFormat="false" ht="15" hidden="false" customHeight="false" outlineLevel="0" collapsed="false">
      <c r="A7" s="6" t="s">
        <v>86</v>
      </c>
      <c r="B7" s="6" t="s">
        <v>50</v>
      </c>
      <c r="C7" s="6" t="s">
        <v>111</v>
      </c>
    </row>
    <row r="8" customFormat="false" ht="15" hidden="false" customHeight="false" outlineLevel="0" collapsed="false">
      <c r="A8" s="6" t="s">
        <v>127</v>
      </c>
      <c r="B8" s="6" t="s">
        <v>13</v>
      </c>
      <c r="C8" s="6" t="s">
        <v>277</v>
      </c>
    </row>
    <row r="9" customFormat="false" ht="15" hidden="false" customHeight="false" outlineLevel="0" collapsed="false">
      <c r="A9" s="6" t="s">
        <v>127</v>
      </c>
      <c r="B9" s="6" t="s">
        <v>50</v>
      </c>
      <c r="C9" s="6" t="s">
        <v>278</v>
      </c>
    </row>
    <row r="10" customFormat="false" ht="15" hidden="false" customHeight="false" outlineLevel="0" collapsed="false">
      <c r="A10" s="6" t="s">
        <v>127</v>
      </c>
      <c r="B10" s="6" t="s">
        <v>68</v>
      </c>
      <c r="C10" s="6" t="s">
        <v>279</v>
      </c>
    </row>
    <row r="11" customFormat="false" ht="15" hidden="false" customHeight="false" outlineLevel="0" collapsed="false">
      <c r="A11" s="6" t="s">
        <v>157</v>
      </c>
      <c r="B11" s="6" t="s">
        <v>13</v>
      </c>
      <c r="C11" s="6" t="s">
        <v>280</v>
      </c>
    </row>
    <row r="12" customFormat="false" ht="15" hidden="false" customHeight="false" outlineLevel="0" collapsed="false">
      <c r="A12" s="6" t="s">
        <v>157</v>
      </c>
      <c r="B12" s="6" t="s">
        <v>50</v>
      </c>
      <c r="C12" s="6" t="s">
        <v>172</v>
      </c>
    </row>
    <row r="13" customFormat="false" ht="15" hidden="false" customHeight="false" outlineLevel="0" collapsed="false">
      <c r="A13" s="6" t="s">
        <v>157</v>
      </c>
      <c r="B13" s="6" t="s">
        <v>68</v>
      </c>
      <c r="C13" s="6" t="s">
        <v>281</v>
      </c>
    </row>
    <row r="14" customFormat="false" ht="15" hidden="false" customHeight="false" outlineLevel="0" collapsed="false">
      <c r="A14" s="6" t="s">
        <v>157</v>
      </c>
      <c r="B14" s="6" t="s">
        <v>74</v>
      </c>
      <c r="C14" s="6" t="s">
        <v>282</v>
      </c>
    </row>
    <row r="15" customFormat="false" ht="15" hidden="false" customHeight="false" outlineLevel="0" collapsed="false">
      <c r="A15" s="6" t="s">
        <v>202</v>
      </c>
      <c r="B15" s="6" t="s">
        <v>13</v>
      </c>
      <c r="C15" s="6" t="s">
        <v>283</v>
      </c>
    </row>
    <row r="16" customFormat="false" ht="15" hidden="false" customHeight="false" outlineLevel="0" collapsed="false">
      <c r="A16" s="6" t="s">
        <v>202</v>
      </c>
      <c r="B16" s="6" t="s">
        <v>50</v>
      </c>
      <c r="C16" s="6" t="s">
        <v>284</v>
      </c>
    </row>
    <row r="17" customFormat="false" ht="15" hidden="false" customHeight="false" outlineLevel="0" collapsed="false">
      <c r="A17" s="6" t="s">
        <v>202</v>
      </c>
      <c r="B17" s="6" t="s">
        <v>68</v>
      </c>
      <c r="C17" s="6" t="s">
        <v>229</v>
      </c>
    </row>
    <row r="18" customFormat="false" ht="15" hidden="false" customHeight="false" outlineLevel="0" collapsed="false">
      <c r="A18" s="6" t="s">
        <v>240</v>
      </c>
      <c r="B18" s="6" t="s">
        <v>13</v>
      </c>
      <c r="C18" s="6" t="s">
        <v>285</v>
      </c>
    </row>
    <row r="19" customFormat="false" ht="15" hidden="false" customHeight="false" outlineLevel="0" collapsed="false">
      <c r="A19" s="6" t="s">
        <v>240</v>
      </c>
      <c r="B19" s="6" t="s">
        <v>50</v>
      </c>
      <c r="C19" s="6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9" t="s">
        <v>2</v>
      </c>
      <c r="B1" s="9" t="s">
        <v>5</v>
      </c>
      <c r="C1" s="9" t="s">
        <v>286</v>
      </c>
      <c r="D1" s="9" t="s">
        <v>287</v>
      </c>
      <c r="E1" s="9" t="s">
        <v>9</v>
      </c>
      <c r="F1" s="9" t="s">
        <v>288</v>
      </c>
    </row>
    <row r="2" customFormat="false" ht="35.05" hidden="false" customHeight="false" outlineLevel="0" collapsed="false">
      <c r="A2" s="10" t="s">
        <v>289</v>
      </c>
      <c r="B2" s="10" t="s">
        <v>290</v>
      </c>
      <c r="C2" s="10" t="s">
        <v>291</v>
      </c>
      <c r="D2" s="10" t="s">
        <v>292</v>
      </c>
      <c r="E2" s="10" t="s">
        <v>293</v>
      </c>
      <c r="F2" s="10" t="s">
        <v>294</v>
      </c>
    </row>
    <row r="3" customFormat="false" ht="35.05" hidden="false" customHeight="false" outlineLevel="0" collapsed="false">
      <c r="A3" s="10" t="s">
        <v>295</v>
      </c>
      <c r="B3" s="10" t="s">
        <v>296</v>
      </c>
      <c r="C3" s="10" t="s">
        <v>297</v>
      </c>
      <c r="D3" s="10" t="s">
        <v>298</v>
      </c>
      <c r="E3" s="10" t="s">
        <v>293</v>
      </c>
      <c r="F3" s="10" t="s">
        <v>299</v>
      </c>
    </row>
    <row r="4" customFormat="false" ht="35.05" hidden="false" customHeight="false" outlineLevel="0" collapsed="false">
      <c r="A4" s="10" t="s">
        <v>300</v>
      </c>
      <c r="B4" s="10" t="s">
        <v>301</v>
      </c>
      <c r="C4" s="10" t="s">
        <v>302</v>
      </c>
      <c r="D4" s="10" t="s">
        <v>292</v>
      </c>
      <c r="E4" s="10" t="s">
        <v>303</v>
      </c>
      <c r="F4" s="10" t="s">
        <v>304</v>
      </c>
    </row>
    <row r="5" customFormat="false" ht="23.85" hidden="false" customHeight="false" outlineLevel="0" collapsed="false">
      <c r="A5" s="10" t="s">
        <v>305</v>
      </c>
      <c r="B5" s="10" t="s">
        <v>306</v>
      </c>
      <c r="C5" s="10" t="s">
        <v>307</v>
      </c>
      <c r="D5" s="10" t="s">
        <v>292</v>
      </c>
      <c r="E5" s="10" t="s">
        <v>303</v>
      </c>
      <c r="F5" s="10" t="s">
        <v>308</v>
      </c>
    </row>
    <row r="6" customFormat="false" ht="23.85" hidden="false" customHeight="false" outlineLevel="0" collapsed="false">
      <c r="A6" s="10" t="s">
        <v>309</v>
      </c>
      <c r="B6" s="10" t="s">
        <v>310</v>
      </c>
      <c r="C6" s="10" t="s">
        <v>311</v>
      </c>
      <c r="D6" s="10" t="s">
        <v>292</v>
      </c>
      <c r="E6" s="10" t="s">
        <v>303</v>
      </c>
      <c r="F6" s="1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2026-10-24T21:13:19Z</dcterms:created>
  <dc:creator>openpyxl</dc:creator>
  <dc:description/>
  <dc:language>en-US</dc:language>
  <cp:lastModifiedBy/>
  <dcterms:modified xsi:type="dcterms:W3CDTF">2026-10-24T21:13:19Z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